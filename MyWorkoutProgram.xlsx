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ine" sheetId="1" r:id="rId5"/>
    <sheet state="visible" name="Muscle Group Sets Per Week" sheetId="2" r:id="rId6"/>
  </sheets>
  <definedNames/>
  <calcPr/>
</workbook>
</file>

<file path=xl/sharedStrings.xml><?xml version="1.0" encoding="utf-8"?>
<sst xmlns="http://schemas.openxmlformats.org/spreadsheetml/2006/main" count="123" uniqueCount="74">
  <si>
    <t>Day</t>
  </si>
  <si>
    <t>Exercise</t>
  </si>
  <si>
    <t>Sets</t>
  </si>
  <si>
    <t>Primary Muscle (1.0 count)</t>
  </si>
  <si>
    <t>Secondary Muscle (0.5 count)</t>
  </si>
  <si>
    <t>Upper #1</t>
  </si>
  <si>
    <t>Barbell Bench Press</t>
  </si>
  <si>
    <t>Chest (Lower), Triceps</t>
  </si>
  <si>
    <t>Shoulders (Front)</t>
  </si>
  <si>
    <t>Wide Grip Pull-Up</t>
  </si>
  <si>
    <t>Back (Lats)</t>
  </si>
  <si>
    <t>Back (Upper), Biceps, Shoulders (Rear), Forearms</t>
  </si>
  <si>
    <t>Incline Dumbbell Bench Press</t>
  </si>
  <si>
    <t>Chest (Upper)</t>
  </si>
  <si>
    <t>Shoulders (Front), Triceps</t>
  </si>
  <si>
    <t>Machine Rear Delt Row</t>
  </si>
  <si>
    <t>Shoulders (Rear), Back (Upper)</t>
  </si>
  <si>
    <t>Biceps, Back (Lower), Forearms</t>
  </si>
  <si>
    <t>Dumbbell Shoulder Press</t>
  </si>
  <si>
    <t>Shoulders (Front), Shoulders (Side)</t>
  </si>
  <si>
    <t>Triceps, Chest (Upper)</t>
  </si>
  <si>
    <t>Dumbbell Crossbody Hammer Curl</t>
  </si>
  <si>
    <t>Biceps</t>
  </si>
  <si>
    <t>Lower #1</t>
  </si>
  <si>
    <t>Barbell Back Squat</t>
  </si>
  <si>
    <t>Quads, Glutes</t>
  </si>
  <si>
    <t>Back (Lower), Abductors, Adductors, Hamstrings</t>
  </si>
  <si>
    <t>Sled 45° Leg Press</t>
  </si>
  <si>
    <t>Quads</t>
  </si>
  <si>
    <t>Glutes, Hamstrings</t>
  </si>
  <si>
    <t>Machine Hip Adduction</t>
  </si>
  <si>
    <t>Adductors</t>
  </si>
  <si>
    <t>Seated Leg Extension</t>
  </si>
  <si>
    <t>Single Leg Dumbbell Standing Calf Raise</t>
  </si>
  <si>
    <t>Calves</t>
  </si>
  <si>
    <t>Upper #2</t>
  </si>
  <si>
    <t>Barbell Overhead Press</t>
  </si>
  <si>
    <t>Close Grip Dumbbell Bench Press</t>
  </si>
  <si>
    <t>Machine Chest-Supported Row (Wide Grip)</t>
  </si>
  <si>
    <t>Back (Lats), Back (Upper)</t>
  </si>
  <si>
    <t>Shoulders (Rear), Biceps, Forearms</t>
  </si>
  <si>
    <t>Cable Single Arm Lateral Raise</t>
  </si>
  <si>
    <t>Shoulders (Side)</t>
  </si>
  <si>
    <t>Lower #2</t>
  </si>
  <si>
    <t>Dumbbell Split Squat</t>
  </si>
  <si>
    <t>Abductors, Adductors, Hamstrings, Forearms</t>
  </si>
  <si>
    <t>Romanian Deadlift</t>
  </si>
  <si>
    <t>Hamstrings, Glutes</t>
  </si>
  <si>
    <t>Back (Lower), Forearms</t>
  </si>
  <si>
    <t>Machine Hip Abduction</t>
  </si>
  <si>
    <t>Abductors</t>
  </si>
  <si>
    <t>Seated Leg Curl</t>
  </si>
  <si>
    <t>Hamstrings</t>
  </si>
  <si>
    <t>Machine Standing Calf Raise</t>
  </si>
  <si>
    <t>Accessories</t>
  </si>
  <si>
    <t>45° Back Extension</t>
  </si>
  <si>
    <t>Back (Lower), Glutes, Hamstrings</t>
  </si>
  <si>
    <t>Seated Machine Crunch</t>
  </si>
  <si>
    <t>Abs</t>
  </si>
  <si>
    <t>Dumbbell Arm Lateral Raise</t>
  </si>
  <si>
    <t>PUSH</t>
  </si>
  <si>
    <t>Planned</t>
  </si>
  <si>
    <t>Target</t>
  </si>
  <si>
    <t>Chest</t>
  </si>
  <si>
    <t>Chest (Lower)</t>
  </si>
  <si>
    <t>Triceps</t>
  </si>
  <si>
    <t>PULL</t>
  </si>
  <si>
    <t>Back (Upper)</t>
  </si>
  <si>
    <t>Shoulders (Rear)</t>
  </si>
  <si>
    <t>LEGS</t>
  </si>
  <si>
    <t>Glutes</t>
  </si>
  <si>
    <t>ACCESSORIES</t>
  </si>
  <si>
    <t>Back (Lower)</t>
  </si>
  <si>
    <t>Forearms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</si>
</sst>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F0F10"/>
      <name val="Arial"/>
    </font>
    <font>
      <color rgb="FF0F0F1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outi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7" displayName="Split" name="Split" id="1">
  <tableColumns count="5">
    <tableColumn name="Day" id="1"/>
    <tableColumn name="Exercise" id="2"/>
    <tableColumn name="Sets" id="3"/>
    <tableColumn name="Primary Muscle (1.0 count)" id="4"/>
    <tableColumn name="Secondary Muscle (0.5 count)" id="5"/>
  </tableColumns>
  <tableStyleInfo name="Rout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33.88"/>
    <col customWidth="1" min="4" max="4" width="28.0"/>
    <col customWidth="1" min="5" max="5" width="3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>
        <v>3.0</v>
      </c>
      <c r="D2" s="3" t="s">
        <v>7</v>
      </c>
      <c r="E2" s="3" t="s">
        <v>8</v>
      </c>
    </row>
    <row r="3" ht="22.5" customHeight="1">
      <c r="A3" s="2" t="s">
        <v>5</v>
      </c>
      <c r="B3" s="3" t="s">
        <v>9</v>
      </c>
      <c r="C3" s="4">
        <v>3.0</v>
      </c>
      <c r="D3" s="3" t="s">
        <v>10</v>
      </c>
      <c r="E3" s="3" t="s">
        <v>11</v>
      </c>
    </row>
    <row r="4" ht="22.5" customHeight="1">
      <c r="A4" s="2" t="s">
        <v>5</v>
      </c>
      <c r="B4" s="3" t="s">
        <v>12</v>
      </c>
      <c r="C4" s="4">
        <v>3.0</v>
      </c>
      <c r="D4" s="3" t="s">
        <v>13</v>
      </c>
      <c r="E4" s="3" t="s">
        <v>14</v>
      </c>
    </row>
    <row r="5" ht="20.25" customHeight="1">
      <c r="A5" s="2" t="s">
        <v>5</v>
      </c>
      <c r="B5" s="3" t="s">
        <v>15</v>
      </c>
      <c r="C5" s="4">
        <v>3.0</v>
      </c>
      <c r="D5" s="3" t="s">
        <v>16</v>
      </c>
      <c r="E5" s="3" t="s">
        <v>17</v>
      </c>
    </row>
    <row r="6" ht="22.5" customHeight="1">
      <c r="A6" s="2" t="s">
        <v>5</v>
      </c>
      <c r="B6" s="3" t="s">
        <v>18</v>
      </c>
      <c r="C6" s="4">
        <v>3.0</v>
      </c>
      <c r="D6" s="3" t="s">
        <v>19</v>
      </c>
      <c r="E6" s="3" t="s">
        <v>20</v>
      </c>
    </row>
    <row r="7" ht="22.5" customHeight="1">
      <c r="A7" s="2" t="s">
        <v>5</v>
      </c>
      <c r="B7" s="3" t="s">
        <v>21</v>
      </c>
      <c r="C7" s="4">
        <v>3.0</v>
      </c>
      <c r="D7" s="3" t="s">
        <v>22</v>
      </c>
      <c r="E7" s="3"/>
    </row>
    <row r="8" ht="22.5" customHeight="1">
      <c r="A8" s="2" t="s">
        <v>23</v>
      </c>
      <c r="B8" s="3" t="s">
        <v>24</v>
      </c>
      <c r="C8" s="4">
        <v>3.0</v>
      </c>
      <c r="D8" s="3" t="s">
        <v>25</v>
      </c>
      <c r="E8" s="3" t="s">
        <v>26</v>
      </c>
    </row>
    <row r="9" ht="22.5" customHeight="1">
      <c r="A9" s="2" t="s">
        <v>23</v>
      </c>
      <c r="B9" s="3" t="s">
        <v>27</v>
      </c>
      <c r="C9" s="4">
        <v>3.0</v>
      </c>
      <c r="D9" s="3" t="s">
        <v>28</v>
      </c>
      <c r="E9" s="3" t="s">
        <v>29</v>
      </c>
    </row>
    <row r="10" ht="22.5" customHeight="1">
      <c r="A10" s="2" t="s">
        <v>23</v>
      </c>
      <c r="B10" s="3" t="s">
        <v>30</v>
      </c>
      <c r="C10" s="4">
        <v>3.0</v>
      </c>
      <c r="D10" s="3" t="s">
        <v>31</v>
      </c>
    </row>
    <row r="11" ht="22.5" customHeight="1">
      <c r="A11" s="2" t="s">
        <v>23</v>
      </c>
      <c r="B11" s="3" t="s">
        <v>32</v>
      </c>
      <c r="C11" s="4">
        <v>3.0</v>
      </c>
      <c r="D11" s="3" t="s">
        <v>28</v>
      </c>
    </row>
    <row r="12" ht="22.5" customHeight="1">
      <c r="A12" s="2" t="s">
        <v>23</v>
      </c>
      <c r="B12" s="3" t="s">
        <v>33</v>
      </c>
      <c r="C12" s="4">
        <v>3.0</v>
      </c>
      <c r="D12" s="3" t="s">
        <v>34</v>
      </c>
    </row>
    <row r="13" ht="22.5" customHeight="1">
      <c r="A13" s="2" t="s">
        <v>35</v>
      </c>
      <c r="B13" s="3" t="s">
        <v>36</v>
      </c>
      <c r="C13" s="4">
        <v>3.0</v>
      </c>
      <c r="D13" s="3" t="s">
        <v>19</v>
      </c>
      <c r="E13" s="3" t="s">
        <v>20</v>
      </c>
    </row>
    <row r="14" ht="22.5" customHeight="1">
      <c r="A14" s="2" t="s">
        <v>35</v>
      </c>
      <c r="B14" s="3" t="s">
        <v>9</v>
      </c>
      <c r="C14" s="4">
        <v>3.0</v>
      </c>
      <c r="D14" s="3" t="s">
        <v>10</v>
      </c>
      <c r="E14" s="3" t="s">
        <v>11</v>
      </c>
    </row>
    <row r="15" ht="22.5" customHeight="1">
      <c r="A15" s="2" t="s">
        <v>35</v>
      </c>
      <c r="B15" s="3" t="s">
        <v>37</v>
      </c>
      <c r="C15" s="4">
        <v>3.0</v>
      </c>
      <c r="D15" s="3" t="s">
        <v>7</v>
      </c>
      <c r="E15" s="3" t="s">
        <v>8</v>
      </c>
    </row>
    <row r="16" ht="22.5" customHeight="1">
      <c r="A16" s="2" t="s">
        <v>35</v>
      </c>
      <c r="B16" s="3" t="s">
        <v>38</v>
      </c>
      <c r="C16" s="4">
        <v>3.0</v>
      </c>
      <c r="D16" s="3" t="s">
        <v>39</v>
      </c>
      <c r="E16" s="3" t="s">
        <v>40</v>
      </c>
    </row>
    <row r="17" ht="22.5" customHeight="1">
      <c r="A17" s="2" t="s">
        <v>35</v>
      </c>
      <c r="B17" s="3" t="s">
        <v>12</v>
      </c>
      <c r="C17" s="4">
        <v>3.0</v>
      </c>
      <c r="D17" s="3" t="s">
        <v>13</v>
      </c>
      <c r="E17" s="3" t="s">
        <v>14</v>
      </c>
    </row>
    <row r="18" ht="22.5" customHeight="1">
      <c r="A18" s="2" t="s">
        <v>35</v>
      </c>
      <c r="B18" s="3" t="s">
        <v>41</v>
      </c>
      <c r="C18" s="4">
        <v>4.0</v>
      </c>
      <c r="D18" s="3" t="s">
        <v>42</v>
      </c>
    </row>
    <row r="19" ht="22.5" customHeight="1">
      <c r="A19" s="2" t="s">
        <v>43</v>
      </c>
      <c r="B19" s="3" t="s">
        <v>44</v>
      </c>
      <c r="C19" s="4">
        <v>3.0</v>
      </c>
      <c r="D19" s="3" t="s">
        <v>25</v>
      </c>
      <c r="E19" s="3" t="s">
        <v>45</v>
      </c>
    </row>
    <row r="20" ht="22.5" customHeight="1">
      <c r="A20" s="2" t="s">
        <v>43</v>
      </c>
      <c r="B20" s="3" t="s">
        <v>46</v>
      </c>
      <c r="C20" s="4">
        <v>3.0</v>
      </c>
      <c r="D20" s="3" t="s">
        <v>47</v>
      </c>
      <c r="E20" s="3" t="s">
        <v>48</v>
      </c>
    </row>
    <row r="21" ht="22.5" customHeight="1">
      <c r="A21" s="2" t="s">
        <v>43</v>
      </c>
      <c r="B21" s="3" t="s">
        <v>49</v>
      </c>
      <c r="C21" s="4">
        <v>3.0</v>
      </c>
      <c r="D21" s="3" t="s">
        <v>50</v>
      </c>
    </row>
    <row r="22" ht="22.5" customHeight="1">
      <c r="A22" s="2" t="s">
        <v>43</v>
      </c>
      <c r="B22" s="3" t="s">
        <v>51</v>
      </c>
      <c r="C22" s="4">
        <v>3.0</v>
      </c>
      <c r="D22" s="3" t="s">
        <v>52</v>
      </c>
    </row>
    <row r="23" ht="22.5" customHeight="1">
      <c r="A23" s="2" t="s">
        <v>43</v>
      </c>
      <c r="B23" s="3" t="s">
        <v>53</v>
      </c>
      <c r="C23" s="4">
        <v>3.0</v>
      </c>
      <c r="D23" s="3" t="s">
        <v>34</v>
      </c>
    </row>
    <row r="24" ht="22.5" customHeight="1">
      <c r="A24" s="2" t="s">
        <v>54</v>
      </c>
      <c r="B24" s="3" t="s">
        <v>38</v>
      </c>
      <c r="C24" s="4">
        <v>3.0</v>
      </c>
      <c r="D24" s="3" t="s">
        <v>39</v>
      </c>
      <c r="E24" s="3" t="s">
        <v>40</v>
      </c>
    </row>
    <row r="25" ht="22.5" customHeight="1">
      <c r="A25" s="2" t="s">
        <v>54</v>
      </c>
      <c r="B25" s="3" t="s">
        <v>55</v>
      </c>
      <c r="C25" s="4">
        <v>3.0</v>
      </c>
      <c r="D25" s="3" t="s">
        <v>56</v>
      </c>
    </row>
    <row r="26" ht="22.5" customHeight="1">
      <c r="A26" s="2" t="s">
        <v>54</v>
      </c>
      <c r="B26" s="3" t="s">
        <v>57</v>
      </c>
      <c r="C26" s="4">
        <v>4.0</v>
      </c>
      <c r="D26" s="3" t="s">
        <v>58</v>
      </c>
    </row>
    <row r="27" ht="22.5" customHeight="1">
      <c r="A27" s="2" t="s">
        <v>54</v>
      </c>
      <c r="B27" s="3" t="s">
        <v>59</v>
      </c>
      <c r="C27" s="4">
        <v>3.0</v>
      </c>
      <c r="D27" s="3" t="s">
        <v>42</v>
      </c>
    </row>
  </sheetData>
  <dataValidations>
    <dataValidation type="list" allowBlank="1" sqref="A2:A27">
      <formula1>"Upper #1,Lower #1,Upper #2,Lower #2,Accessories"</formula1>
    </dataValidation>
    <dataValidation type="custom" allowBlank="1" showDropDown="1" sqref="C2:C2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5" t="s">
        <v>60</v>
      </c>
      <c r="B1" s="6" t="s">
        <v>61</v>
      </c>
      <c r="C1" s="5" t="s">
        <v>62</v>
      </c>
    </row>
    <row r="2">
      <c r="A2" s="5" t="s">
        <v>63</v>
      </c>
      <c r="B2" s="7">
        <f>SUMIF(Routine!$D:$D, "*"&amp;A2&amp;"*", Routine!$C:$C) + (SUMIF(Routine!$E:$E, "*"&amp;A2&amp;"*", Routine!$C:$C) * 0.5)</f>
        <v>15</v>
      </c>
      <c r="C2" s="5">
        <v>10.0</v>
      </c>
    </row>
    <row r="3">
      <c r="A3" s="5" t="s">
        <v>13</v>
      </c>
      <c r="B3" s="7">
        <f>SUMIF(Routine!$D:$D, "*"&amp;A3&amp;"*", Routine!$C:$C) + (SUMIF(Routine!$E:$E, "*"&amp;A3&amp;"*", Routine!$C:$C) * 0.5)</f>
        <v>9</v>
      </c>
    </row>
    <row r="4">
      <c r="A4" s="5" t="s">
        <v>64</v>
      </c>
      <c r="B4" s="7">
        <f>SUMIF(Routine!$D:$D, "*"&amp;A4&amp;"*", Routine!$C:$C) + (SUMIF(Routine!$E:$E, "*"&amp;A4&amp;"*", Routine!$C:$C) * 0.5)</f>
        <v>6</v>
      </c>
    </row>
    <row r="5">
      <c r="A5" s="5" t="s">
        <v>8</v>
      </c>
      <c r="B5" s="7">
        <f>SUMIF(Routine!$D:$D, "*"&amp;A5&amp;"*", Routine!$C:$C) + (SUMIF(Routine!$E:$E, "*"&amp;A5&amp;"*", Routine!$C:$C) * 0.5)</f>
        <v>12</v>
      </c>
      <c r="C5" s="5">
        <v>10.0</v>
      </c>
    </row>
    <row r="6">
      <c r="A6" s="5" t="s">
        <v>42</v>
      </c>
      <c r="B6" s="7">
        <f>SUMIF(Routine!$D:$D, "*"&amp;A6&amp;"*", Routine!$C:$C) + (SUMIF(Routine!$E:$E, "*"&amp;A6&amp;"*", Routine!$C:$C) * 0.5)</f>
        <v>13</v>
      </c>
      <c r="C6" s="5">
        <v>10.0</v>
      </c>
    </row>
    <row r="7">
      <c r="A7" s="5" t="s">
        <v>65</v>
      </c>
      <c r="B7" s="7">
        <f>SUMIF(Routine!$D:$D, "*"&amp;A7&amp;"*", Routine!$C:$C) + (SUMIF(Routine!$E:$E, "*"&amp;A7&amp;"*", Routine!$C:$C) * 0.5)</f>
        <v>12</v>
      </c>
      <c r="C7" s="5">
        <v>10.0</v>
      </c>
    </row>
    <row r="8">
      <c r="A8" s="5"/>
      <c r="B8" s="7"/>
    </row>
    <row r="9">
      <c r="A9" s="5" t="s">
        <v>66</v>
      </c>
      <c r="B9" s="7"/>
    </row>
    <row r="10">
      <c r="A10" s="5" t="s">
        <v>10</v>
      </c>
      <c r="B10" s="7">
        <f>SUMIF(Routine!$D:$D, "*"&amp;A10&amp;"*", Routine!$C:$C) + (SUMIF(Routine!$E:$E, "*"&amp;A10&amp;"*", Routine!$C:$C) * 0.5)</f>
        <v>12</v>
      </c>
      <c r="C10" s="5">
        <v>10.0</v>
      </c>
    </row>
    <row r="11">
      <c r="A11" s="5" t="s">
        <v>67</v>
      </c>
      <c r="B11" s="7">
        <f>SUMIF(Routine!$D:$D, "*"&amp;A11&amp;"*", Routine!$C:$C) + (SUMIF(Routine!$E:$E, "*"&amp;A11&amp;"*", Routine!$C:$C) * 0.5)</f>
        <v>12</v>
      </c>
      <c r="C11" s="5">
        <v>10.0</v>
      </c>
    </row>
    <row r="12">
      <c r="A12" s="5" t="s">
        <v>68</v>
      </c>
      <c r="B12" s="7">
        <f>SUMIF(Routine!$D:$D, "*"&amp;A12&amp;"*", Routine!$C:$C) + (SUMIF(Routine!$E:$E, "*"&amp;A12&amp;"*", Routine!$C:$C) * 0.5)</f>
        <v>9</v>
      </c>
      <c r="C12" s="5">
        <v>10.0</v>
      </c>
    </row>
    <row r="13">
      <c r="A13" s="5" t="s">
        <v>22</v>
      </c>
      <c r="B13" s="7">
        <f>SUMIF(Routine!$D:$D, "*"&amp;A13&amp;"*", Routine!$C:$C) + (SUMIF(Routine!$E:$E, "*"&amp;A13&amp;"*", Routine!$C:$C) * 0.5)</f>
        <v>10.5</v>
      </c>
      <c r="C13" s="5">
        <v>10.0</v>
      </c>
    </row>
    <row r="14">
      <c r="A14" s="5"/>
      <c r="B14" s="7"/>
    </row>
    <row r="15">
      <c r="A15" s="5" t="s">
        <v>69</v>
      </c>
    </row>
    <row r="16">
      <c r="A16" s="5" t="s">
        <v>70</v>
      </c>
      <c r="B16" s="7">
        <f>SUMIF(Routine!$D:$D, "*"&amp;A16&amp;"*", Routine!$C:$C) + (SUMIF(Routine!$E:$E, "*"&amp;A16&amp;"*", Routine!$C:$C) * 0.5)</f>
        <v>13.5</v>
      </c>
      <c r="C16" s="5">
        <v>10.0</v>
      </c>
    </row>
    <row r="17">
      <c r="A17" s="5" t="s">
        <v>28</v>
      </c>
      <c r="B17" s="7">
        <f>SUMIF(Routine!$D:$D, "*"&amp;A17&amp;"*", Routine!$C:$C) + (SUMIF(Routine!$E:$E, "*"&amp;A17&amp;"*", Routine!$C:$C) * 0.5)</f>
        <v>12</v>
      </c>
      <c r="C17" s="5">
        <v>10.0</v>
      </c>
    </row>
    <row r="18">
      <c r="A18" s="5" t="s">
        <v>52</v>
      </c>
      <c r="B18" s="7">
        <f>SUMIF(Routine!$D:$D, "*"&amp;A18&amp;"*", Routine!$C:$C) + (SUMIF(Routine!$E:$E, "*"&amp;A18&amp;"*", Routine!$C:$C) * 0.5)</f>
        <v>13.5</v>
      </c>
      <c r="C18" s="5">
        <v>10.0</v>
      </c>
    </row>
    <row r="19">
      <c r="A19" s="5"/>
      <c r="B19" s="7"/>
    </row>
    <row r="20">
      <c r="A20" s="5" t="s">
        <v>71</v>
      </c>
      <c r="B20" s="7"/>
    </row>
    <row r="21">
      <c r="A21" s="5" t="s">
        <v>34</v>
      </c>
      <c r="B21" s="7">
        <f>SUMIF(Routine!$D:$D, "*"&amp;A21&amp;"*", Routine!$C:$C) + (SUMIF(Routine!$E:$E, "*"&amp;A21&amp;"*", Routine!$C:$C) * 0.5)</f>
        <v>6</v>
      </c>
      <c r="C21" s="5">
        <v>6.0</v>
      </c>
    </row>
    <row r="22">
      <c r="A22" s="5" t="s">
        <v>31</v>
      </c>
      <c r="B22" s="7">
        <f>SUMIF(Routine!$D:$D, "*"&amp;A22&amp;"*", Routine!$C:$C) + (SUMIF(Routine!$E:$E, "*"&amp;A22&amp;"*", Routine!$C:$C) * 0.5)</f>
        <v>6</v>
      </c>
      <c r="C22" s="5">
        <v>6.0</v>
      </c>
    </row>
    <row r="23">
      <c r="A23" s="5" t="s">
        <v>50</v>
      </c>
      <c r="B23" s="7">
        <f>SUMIF(Routine!$D:$D, "*"&amp;A23&amp;"*", Routine!$C:$C) + (SUMIF(Routine!$E:$E, "*"&amp;A23&amp;"*", Routine!$C:$C) * 0.5)</f>
        <v>6</v>
      </c>
      <c r="C23" s="5">
        <v>6.0</v>
      </c>
    </row>
    <row r="24">
      <c r="A24" s="5" t="s">
        <v>72</v>
      </c>
      <c r="B24" s="7">
        <f>SUMIF(Routine!$D:$D, "*"&amp;A24&amp;"*", Routine!$C:$C) + (SUMIF(Routine!$E:$E, "*"&amp;A24&amp;"*", Routine!$C:$C) * 0.5)</f>
        <v>7.5</v>
      </c>
      <c r="C24" s="5">
        <v>6.0</v>
      </c>
    </row>
    <row r="25">
      <c r="A25" s="5" t="s">
        <v>58</v>
      </c>
      <c r="B25" s="7">
        <f>SUMIF(Routine!$D:$D, "*"&amp;A25&amp;"*", Routine!$C:$C) + (SUMIF(Routine!$E:$E, "*"&amp;A25&amp;"*", Routine!$C:$C) * 0.5)</f>
        <v>4</v>
      </c>
      <c r="C25" s="5">
        <v>6.0</v>
      </c>
    </row>
    <row r="26">
      <c r="A26" s="5" t="s">
        <v>73</v>
      </c>
      <c r="B26" s="7">
        <f>SUMIF(Routine!$D:$D, "*"&amp;A26&amp;"*", Routine!$C:$C) + (SUMIF(Routine!$E:$E, "*"&amp;A26&amp;"*", Routine!$C:$C) * 0.5)</f>
        <v>10.5</v>
      </c>
      <c r="C26" s="5">
        <v>6.0</v>
      </c>
    </row>
  </sheetData>
  <drawing r:id="rId1"/>
</worksheet>
</file>